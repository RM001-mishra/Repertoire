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0" documentId="8_{5A1346F1-4CF7-498B-96E5-109C4158B9AD}" xr6:coauthVersionLast="47" xr6:coauthVersionMax="47" xr10:uidLastSave="{00000000-0000-0000-0000-000000000000}"/>
  <bookViews>
    <workbookView xWindow="0" yWindow="500" windowWidth="29400" windowHeight="16300" tabRatio="849" firstSheet="6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Dataset!$A$1:$X$41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 a="1"/>
  <c r="C23" i="20"/>
  <c r="B6" i="18"/>
  <c r="C6" i="18"/>
  <c r="D6" i="18"/>
  <c r="E6" i="18"/>
  <c r="F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C24" i="20" a="1"/>
  <c r="C24" i="20"/>
  <c r="C25" i="20" a="1"/>
  <c r="C25" i="20"/>
  <c r="C26" i="20" a="1"/>
  <c r="C26" i="20"/>
  <c r="C27" i="20" a="1"/>
  <c r="C27" i="20"/>
  <c r="C28" i="20" a="1"/>
  <c r="C28" i="20"/>
  <c r="C29" i="20" a="1"/>
  <c r="C29" i="20"/>
  <c r="C30" i="20" a="1"/>
  <c r="C30" i="20"/>
  <c r="C31" i="20" a="1"/>
  <c r="C31" i="20"/>
  <c r="C32" i="20" a="1"/>
  <c r="C32" i="20"/>
  <c r="C33" i="20" a="1"/>
  <c r="C33" i="20"/>
  <c r="C34" i="20" a="1"/>
  <c r="C34" i="20"/>
  <c r="C35" i="20" a="1"/>
  <c r="C35" i="20"/>
  <c r="H23" i="20" a="1"/>
  <c r="H23" i="20"/>
  <c r="H24" i="20" a="1"/>
  <c r="H24" i="20"/>
  <c r="H25" i="20" a="1"/>
  <c r="H25" i="20"/>
  <c r="H26" i="20" a="1"/>
  <c r="H26" i="20"/>
  <c r="H27" i="20" a="1"/>
  <c r="H27" i="20"/>
  <c r="H28" i="20" a="1"/>
  <c r="H28" i="20"/>
  <c r="H29" i="20" a="1"/>
  <c r="H29" i="20"/>
  <c r="H30" i="20" a="1"/>
  <c r="H30" i="20"/>
  <c r="H31" i="20" a="1"/>
  <c r="H31" i="20"/>
  <c r="H32" i="20" a="1"/>
  <c r="H32" i="20"/>
  <c r="H33" i="20" a="1"/>
  <c r="H33" i="20"/>
  <c r="H34" i="20" a="1"/>
  <c r="H34" i="20"/>
  <c r="H35" i="20" a="1"/>
  <c r="H35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D12" i="19"/>
  <c r="D13" i="19"/>
  <c r="D14" i="19"/>
  <c r="D15" i="19"/>
  <c r="D16" i="19"/>
  <c r="D17" i="19"/>
  <c r="D18" i="19"/>
  <c r="D19" i="19"/>
  <c r="D20" i="19"/>
  <c r="D21" i="19"/>
  <c r="B16" i="16" a="1"/>
  <c r="B16" i="16"/>
  <c r="B19" i="16" a="1"/>
  <c r="B19" i="16"/>
  <c r="B20" i="16" a="1"/>
  <c r="B20" i="16"/>
  <c r="B21" i="16" a="1"/>
  <c r="B21" i="16"/>
  <c r="B22" i="16" a="1"/>
  <c r="B22" i="16"/>
  <c r="B23" i="16" a="1"/>
  <c r="B23" i="16"/>
  <c r="B24" i="16" a="1"/>
  <c r="B24" i="16"/>
  <c r="B25" i="16" a="1"/>
  <c r="B25" i="16"/>
  <c r="B26" i="16" a="1"/>
  <c r="B26" i="16"/>
  <c r="B27" i="16" a="1"/>
  <c r="B27" i="16"/>
  <c r="B28" i="16" a="1"/>
  <c r="B28" i="16"/>
  <c r="B29" i="16" a="1"/>
  <c r="B29" i="16"/>
  <c r="B30" i="16" a="1"/>
  <c r="B30" i="16"/>
  <c r="B31" i="16" a="1"/>
  <c r="B31" i="16"/>
  <c r="B32" i="16" a="1"/>
  <c r="B32" i="16"/>
  <c r="B33" i="16" a="1"/>
  <c r="B33" i="16"/>
  <c r="B34" i="16" a="1"/>
  <c r="B34" i="16"/>
  <c r="B35" i="16" a="1"/>
  <c r="B35" i="16"/>
  <c r="B36" i="16" a="1"/>
  <c r="B36" i="16"/>
  <c r="B37" i="16" a="1"/>
  <c r="B37" i="16"/>
  <c r="B38" i="16" a="1"/>
  <c r="B38" i="16"/>
  <c r="B39" i="16" a="1"/>
  <c r="B39" i="16"/>
  <c r="B40" i="16" a="1"/>
  <c r="B40" i="16"/>
  <c r="B41" i="16" a="1"/>
  <c r="B41" i="16"/>
  <c r="B42" i="16" a="1"/>
  <c r="B42" i="16"/>
  <c r="B43" i="16" a="1"/>
  <c r="B43" i="16"/>
  <c r="B44" i="16" a="1"/>
  <c r="B44" i="16"/>
  <c r="B45" i="16" a="1"/>
  <c r="B45" i="16"/>
  <c r="B46" i="16" a="1"/>
  <c r="B46" i="16"/>
  <c r="B47" i="16" a="1"/>
  <c r="B47" i="16"/>
  <c r="B48" i="16" a="1"/>
  <c r="B48" i="16"/>
  <c r="B49" i="16" a="1"/>
  <c r="B49" i="16"/>
  <c r="B50" i="16" a="1"/>
  <c r="B50" i="16"/>
  <c r="B51" i="16" a="1"/>
  <c r="B51" i="16"/>
  <c r="B52" i="16" a="1"/>
  <c r="B52" i="16"/>
  <c r="B53" i="16" a="1"/>
  <c r="B53" i="16"/>
  <c r="B54" i="16" a="1"/>
  <c r="B54" i="16"/>
  <c r="B18" i="16" a="1"/>
  <c r="B18" i="16"/>
  <c r="B17" i="16" a="1"/>
  <c r="B17" i="16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H41" i="1"/>
  <c r="C22" i="19" l="1"/>
  <c r="B30" i="18"/>
  <c r="B29" i="18"/>
  <c r="B28" i="18"/>
  <c r="C30" i="18"/>
  <c r="C29" i="18"/>
  <c r="C28" i="18"/>
  <c r="D30" i="18"/>
  <c r="D29" i="18"/>
  <c r="D28" i="18"/>
  <c r="E30" i="18"/>
  <c r="E29" i="18"/>
  <c r="E28" i="18"/>
  <c r="F30" i="18"/>
  <c r="F29" i="18"/>
  <c r="F28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<sst xmlns="http://schemas.openxmlformats.org/spreadsheetml/2006/main" count="337" uniqueCount="192">
  <si>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</si>
  <si>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</si>
  <si>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</si>
  <si>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</si>
  <si>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</si>
  <si>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</si>
  <si>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</si>
  <si>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</si>
  <si>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</si>
  <si>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</si>
  <si>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</si>
  <si>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</si>
  <si>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</si>
  <si>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</si>
  <si>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</si>
  <si>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</si>
  <si>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</si>
  <si>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</si>
  <si>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</si>
  <si>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</si>
  <si>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</si>
  <si>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</si>
  <si>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</si>
  <si>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</si>
  <si>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</si>
  <si>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</si>
  <si>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</si>
  <si>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</si>
  <si>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</si>
  <si>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</si>
  <si>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</si>
  <si>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</si>
  <si>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</si>
  <si>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</si>
  <si>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</si>
  <si>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</si>
  <si>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</si>
  <si>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</si>
  <si>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</si>
  <si>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</si>
  <si>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</si>
  <si>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</si>
  <si>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</si>
  <si>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</si>
  <si>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</si>
  <si>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</si>
  <si>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</si>
  <si>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</si>
  <si>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</si>
  <si>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</si>
  <si>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</si>
  <si>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</si>
  <si>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</si>
  <si>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</si>
  <si>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</si>
  <si>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</si>
  <si>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</si>
  <si>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</si>
  <si>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</si>
  <si>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</si>
  <si>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</si>
  <si>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</si>
  <si>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</si>
  <si>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</si>
  <si>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</si>
  <si>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</si>
  <si>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</si>
  <si>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</si>
  <si>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</si>
  <si>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</si>
  <si>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</si>
  <si>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</si>
  <si>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</si>
  <si>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</si>
  <si>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</si>
  <si>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</si>
  <si>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</si>
  <si>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</si>
  <si>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</si>
  <si>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</si>
  <si>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</si>
  <si>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</si>
  <si>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</si>
  <si>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</si>
  <si>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</si>
  <si>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</si>
  <si>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</si>
  <si>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</si>
  <si>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</si>
  <si>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SUMIF(Dataset!H2:H40,"&gt;20")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</si>
  <si>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</si>
  <si>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</si>
  <si>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</si>
  <si>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</si>
  <si>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</si>
  <si>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</si>
  <si>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</si>
  <si>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</si>
  <si>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</si>
  <si>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</si>
  <si>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TEXTSPLIT(A16,"-")</t>
  </si>
  <si>
    <t>Explanation:</t>
  </si>
  <si>
    <t>used "textslit" formula to split the strings into cells</t>
  </si>
  <si>
    <t>firstly by selecting the text from which string have to split, secondly passes delimeter that is "-" to separate into cells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</si>
  <si>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</si>
  <si>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</si>
  <si>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</si>
  <si>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</si>
  <si>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</si>
  <si>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</si>
  <si>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</si>
  <si>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</si>
  <si>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</si>
  <si>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</si>
  <si>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</si>
  <si>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</si>
  <si>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</si>
  <si>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</si>
  <si>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</si>
  <si>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</si>
  <si>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</si>
  <si>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</si>
  <si>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</si>
  <si>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</si>
  <si>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</si>
  <si>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</si>
  <si>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</si>
  <si>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</si>
  <si>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</si>
  <si>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</si>
  <si>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</si>
  <si>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</si>
  <si>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</si>
  <si>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</si>
  <si>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</si>
  <si>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</si>
  <si>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</si>
  <si>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</si>
  <si>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</si>
  <si>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</si>
  <si>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</si>
  <si>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</si>
  <si>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</si>
  <si>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</si>
  <si>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</si>
  <si>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</si>
  <si>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</si>
  <si>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</si>
  <si>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</si>
  <si>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</si>
  <si>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</si>
  <si>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</si>
  <si>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</si>
  <si>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IFERROR(C12,20)</t>
  </si>
  <si>
    <t xml:space="preserve">to replace "#N/A", used "IFERROR" </t>
  </si>
  <si>
    <t>firstly entered value from where data to be fetched, secondly provide value to be replaced when error</t>
  </si>
  <si>
    <t>Date</t>
  </si>
  <si>
    <t>Product</t>
  </si>
  <si>
    <t>Sales</t>
  </si>
  <si>
    <t>Updated 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</si>
  <si>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</si>
  <si>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</si>
  <si>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</si>
  <si>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</si>
  <si>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</si>
  <si>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</si>
  <si>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</si>
  <si>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</si>
  <si>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</si>
  <si>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</si>
  <si>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</si>
  <si>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</si>
  <si>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xlookup</t>
  </si>
  <si>
    <r>
      <rPr>
        <sz val="10"/>
        <color rgb="FF000000"/>
        <rFont val="Calibri"/>
      </rPr>
      <t xml:space="preserve">firstly fetched the value of </t>
    </r>
    <r>
      <rPr>
        <b/>
        <sz val="10"/>
        <color rgb="FF000000"/>
        <rFont val="Calibri"/>
      </rPr>
      <t>name_1</t>
    </r>
    <r>
      <rPr>
        <sz val="10"/>
        <color rgb="FF000000"/>
        <rFont val="Calibri"/>
      </rPr>
      <t xml:space="preserve"> from </t>
    </r>
    <r>
      <rPr>
        <b/>
        <sz val="10"/>
        <color rgb="FF000000"/>
        <rFont val="Calibri"/>
      </rPr>
      <t>Table_B</t>
    </r>
    <r>
      <rPr>
        <sz val="10"/>
        <color rgb="FF000000"/>
        <rFont val="Calibri"/>
      </rPr>
      <t xml:space="preserve"> using </t>
    </r>
    <r>
      <rPr>
        <b/>
        <sz val="10"/>
        <color rgb="FF000000"/>
        <rFont val="Calibri"/>
      </rPr>
      <t>Xlookup</t>
    </r>
    <r>
      <rPr>
        <sz val="10"/>
        <color rgb="FF000000"/>
        <rFont val="Calibri"/>
      </rPr>
      <t xml:space="preserve"> formula, secondly used same formula and process for </t>
    </r>
    <r>
      <rPr>
        <b/>
        <sz val="10"/>
        <color rgb="FF000000"/>
        <rFont val="Calibri"/>
      </rPr>
      <t xml:space="preserve">name_2 </t>
    </r>
    <r>
      <rPr>
        <sz val="10"/>
        <color rgb="FF000000"/>
        <rFont val="Calibri"/>
      </rPr>
      <t>for the reference values are shown outside the box.</t>
    </r>
  </si>
  <si>
    <r>
      <rPr>
        <sz val="10"/>
        <color rgb="FF000000"/>
        <rFont val="Calibri"/>
      </rPr>
      <t xml:space="preserve">thirdly again used </t>
    </r>
    <r>
      <rPr>
        <b/>
        <sz val="10"/>
        <color rgb="FF000000"/>
        <rFont val="Calibri"/>
      </rPr>
      <t>Xlookup</t>
    </r>
    <r>
      <rPr>
        <sz val="10"/>
        <color rgb="FF000000"/>
        <rFont val="Calibri"/>
      </rPr>
      <t xml:space="preserve"> formula to fetch the </t>
    </r>
    <r>
      <rPr>
        <b/>
        <sz val="10"/>
        <color rgb="FF000000"/>
        <rFont val="Calibri"/>
      </rPr>
      <t>intesection</t>
    </r>
    <r>
      <rPr>
        <sz val="10"/>
        <color rgb="FF000000"/>
        <rFont val="Calibri"/>
      </rPr>
      <t xml:space="preserve"> of </t>
    </r>
    <r>
      <rPr>
        <b/>
        <sz val="10"/>
        <color rgb="FF000000"/>
        <rFont val="Calibri"/>
      </rPr>
      <t>name_1</t>
    </r>
    <r>
      <rPr>
        <sz val="10"/>
        <color rgb="FF000000"/>
        <rFont val="Calibri"/>
      </rPr>
      <t xml:space="preserve"> value and </t>
    </r>
    <r>
      <rPr>
        <b/>
        <sz val="10"/>
        <color rgb="FF000000"/>
        <rFont val="Calibri"/>
      </rPr>
      <t>name_2 value finally values are shown in value column.</t>
    </r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</si>
  <si>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</si>
  <si>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</si>
  <si>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</si>
  <si>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</si>
  <si>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</si>
  <si>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</si>
  <si>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</si>
  <si>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</si>
  <si>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</si>
  <si>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</si>
  <si>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</si>
  <si>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</si>
  <si>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</si>
  <si>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</si>
  <si>
    <t>Name_1</t>
  </si>
  <si>
    <t>Name_2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</si>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</sst>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F400]h:mm:ss\ AM/PM"/>
  </numFmts>
  <fonts count="2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444444"/>
      <name val="Consolas"/>
      <charset val="1"/>
    </font>
    <font>
      <sz val="10"/>
      <color rgb="FF000000"/>
      <name val="Calibri"/>
    </font>
    <font>
      <b/>
      <sz val="10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3" fillId="0" borderId="1" xfId="0" applyFont="1" applyBorder="1" applyAlignment="1">
      <alignment wrapText="1"/>
    </xf>
    <xf numFmtId="166" fontId="4" fillId="0" borderId="0" xfId="0" applyNumberFormat="1" applyFont="1"/>
    <xf numFmtId="166" fontId="3" fillId="0" borderId="0" xfId="0" applyNumberFormat="1" applyFont="1"/>
    <xf numFmtId="0" fontId="18" fillId="0" borderId="0" xfId="0" applyFont="1"/>
    <xf numFmtId="0" fontId="19" fillId="0" borderId="0" xfId="0" applyFont="1"/>
    <xf numFmtId="0" fontId="8" fillId="0" borderId="12" xfId="0" applyFont="1" applyBorder="1"/>
    <xf numFmtId="0" fontId="8" fillId="0" borderId="0" xfId="0" applyFont="1" applyAlignment="1">
      <alignment horizont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2D050"/>
      </font>
    </dxf>
    <dxf>
      <font>
        <color rgb="FFFF0000"/>
      </font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topLeftCell="A7" zoomScaleNormal="100" workbookViewId="0">
      <selection activeCell="E14" sqref="E14"/>
    </sheetView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9" activePane="bottomLeft" state="frozen"/>
      <selection pane="bottomLeft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5.1640625" style="48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.83203125" style="45" customWidth="1"/>
    <col min="25" max="16384" width="9" style="1"/>
  </cols>
  <sheetData>
    <row r="1" spans="1:24" s="3" customFormat="1" ht="14.85" customHeight="1">
      <c r="A1" s="26" t="s">
        <v>14</v>
      </c>
      <c r="B1" s="26" t="s">
        <v>15</v>
      </c>
      <c r="C1" s="26" t="s">
        <v>16</v>
      </c>
      <c r="D1" s="4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4" t="s">
        <v>37</v>
      </c>
    </row>
    <row r="2" spans="1:24">
      <c r="A2" s="1" t="s">
        <v>38</v>
      </c>
      <c r="B2" s="1">
        <v>20000</v>
      </c>
      <c r="C2" s="1" t="s">
        <v>39</v>
      </c>
      <c r="D2" s="48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41</v>
      </c>
      <c r="B3" s="1">
        <v>20002</v>
      </c>
      <c r="C3" s="1" t="s">
        <v>39</v>
      </c>
      <c r="D3" s="48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42</v>
      </c>
      <c r="B4" s="1">
        <v>20004</v>
      </c>
      <c r="C4" s="1" t="s">
        <v>39</v>
      </c>
      <c r="D4" s="48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43</v>
      </c>
      <c r="B5" s="1">
        <v>20006</v>
      </c>
      <c r="C5" s="1" t="s">
        <v>39</v>
      </c>
      <c r="D5" s="48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44</v>
      </c>
      <c r="B6" s="1">
        <v>20008</v>
      </c>
      <c r="C6" s="1" t="s">
        <v>39</v>
      </c>
      <c r="D6" s="48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45</v>
      </c>
      <c r="B7" s="1">
        <v>20010</v>
      </c>
      <c r="C7" s="1" t="s">
        <v>39</v>
      </c>
      <c r="D7" s="48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46</v>
      </c>
      <c r="B8" s="1">
        <v>20012</v>
      </c>
      <c r="C8" s="1" t="s">
        <v>39</v>
      </c>
      <c r="D8" s="48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47</v>
      </c>
      <c r="B9" s="1">
        <v>20014</v>
      </c>
      <c r="C9" s="1" t="s">
        <v>39</v>
      </c>
      <c r="D9" s="48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48</v>
      </c>
      <c r="B10" s="1">
        <v>20016</v>
      </c>
      <c r="C10" s="1" t="s">
        <v>39</v>
      </c>
      <c r="D10" s="48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49</v>
      </c>
      <c r="B11" s="1">
        <v>20018</v>
      </c>
      <c r="C11" s="1" t="s">
        <v>39</v>
      </c>
      <c r="D11" s="48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50</v>
      </c>
      <c r="B12" s="1">
        <v>20020</v>
      </c>
      <c r="C12" s="1" t="s">
        <v>39</v>
      </c>
      <c r="D12" s="48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51</v>
      </c>
      <c r="B13" s="1">
        <v>20022</v>
      </c>
      <c r="C13" s="1" t="s">
        <v>39</v>
      </c>
      <c r="D13" s="48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52</v>
      </c>
      <c r="B14" s="1">
        <v>20024</v>
      </c>
      <c r="C14" s="1" t="s">
        <v>39</v>
      </c>
      <c r="D14" s="48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53</v>
      </c>
      <c r="B15" s="1">
        <v>20026</v>
      </c>
      <c r="C15" s="1" t="s">
        <v>39</v>
      </c>
      <c r="D15" s="48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54</v>
      </c>
      <c r="B16" s="1">
        <v>20028</v>
      </c>
      <c r="C16" s="1" t="s">
        <v>39</v>
      </c>
      <c r="D16" s="48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55</v>
      </c>
      <c r="B17" s="1">
        <v>20030</v>
      </c>
      <c r="C17" s="1" t="s">
        <v>39</v>
      </c>
      <c r="D17" s="48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56</v>
      </c>
      <c r="B18" s="1">
        <v>20032</v>
      </c>
      <c r="C18" s="1" t="s">
        <v>39</v>
      </c>
      <c r="D18" s="48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57</v>
      </c>
      <c r="B19" s="1">
        <v>20034</v>
      </c>
      <c r="C19" s="1" t="s">
        <v>39</v>
      </c>
      <c r="D19" s="48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58</v>
      </c>
      <c r="B20" s="1">
        <v>20036</v>
      </c>
      <c r="C20" s="1" t="s">
        <v>39</v>
      </c>
      <c r="D20" s="48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59</v>
      </c>
      <c r="B21" s="1">
        <v>20038</v>
      </c>
      <c r="C21" s="1" t="s">
        <v>39</v>
      </c>
      <c r="D21" s="48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60</v>
      </c>
      <c r="B22" s="1">
        <v>20040</v>
      </c>
      <c r="C22" s="1" t="s">
        <v>39</v>
      </c>
      <c r="D22" s="48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61</v>
      </c>
      <c r="B23" s="1">
        <v>20042</v>
      </c>
      <c r="C23" s="1" t="s">
        <v>39</v>
      </c>
      <c r="D23" s="48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62</v>
      </c>
      <c r="B24" s="1">
        <v>20044</v>
      </c>
      <c r="C24" s="1" t="s">
        <v>39</v>
      </c>
      <c r="D24" s="48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63</v>
      </c>
      <c r="B25" s="1">
        <v>20046</v>
      </c>
      <c r="C25" s="1" t="s">
        <v>39</v>
      </c>
      <c r="D25" s="48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64</v>
      </c>
      <c r="B26" s="1">
        <v>20048</v>
      </c>
      <c r="C26" s="1" t="s">
        <v>39</v>
      </c>
      <c r="D26" s="48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65</v>
      </c>
      <c r="B27" s="1">
        <v>20050</v>
      </c>
      <c r="C27" s="1" t="s">
        <v>39</v>
      </c>
      <c r="D27" s="48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66</v>
      </c>
      <c r="B28" s="1">
        <v>20052</v>
      </c>
      <c r="C28" s="1" t="s">
        <v>39</v>
      </c>
      <c r="D28" s="48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67</v>
      </c>
      <c r="B29" s="1">
        <v>20054</v>
      </c>
      <c r="C29" s="1" t="s">
        <v>39</v>
      </c>
      <c r="D29" s="48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68</v>
      </c>
      <c r="B30" s="1">
        <v>20058</v>
      </c>
      <c r="C30" s="1" t="s">
        <v>39</v>
      </c>
      <c r="D30" s="48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69</v>
      </c>
      <c r="B31" s="1">
        <v>20060</v>
      </c>
      <c r="C31" s="1" t="s">
        <v>39</v>
      </c>
      <c r="D31" s="48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70</v>
      </c>
      <c r="B32" s="1">
        <v>21000</v>
      </c>
      <c r="C32" s="1" t="s">
        <v>39</v>
      </c>
      <c r="D32" s="48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71</v>
      </c>
      <c r="B33" s="1">
        <v>21002</v>
      </c>
      <c r="C33" s="1" t="s">
        <v>39</v>
      </c>
      <c r="D33" s="48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72</v>
      </c>
      <c r="B34" s="1">
        <v>21004</v>
      </c>
      <c r="C34" s="1" t="s">
        <v>39</v>
      </c>
      <c r="D34" s="48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73</v>
      </c>
      <c r="B35" s="1">
        <v>21006</v>
      </c>
      <c r="C35" s="1" t="s">
        <v>39</v>
      </c>
      <c r="D35" s="48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74</v>
      </c>
      <c r="B36" s="1">
        <v>21008</v>
      </c>
      <c r="C36" s="1" t="s">
        <v>39</v>
      </c>
      <c r="D36" s="48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75</v>
      </c>
      <c r="B37" s="1">
        <v>21010</v>
      </c>
      <c r="C37" s="1" t="s">
        <v>39</v>
      </c>
      <c r="D37" s="48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76</v>
      </c>
      <c r="B38" s="1">
        <v>21012</v>
      </c>
      <c r="C38" s="1" t="s">
        <v>39</v>
      </c>
      <c r="D38" s="48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77</v>
      </c>
      <c r="B39" s="1">
        <v>21014</v>
      </c>
      <c r="C39" s="1" t="s">
        <v>39</v>
      </c>
      <c r="D39" s="48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78</v>
      </c>
      <c r="B40" s="1">
        <v>21016</v>
      </c>
      <c r="C40" s="1" t="s">
        <v>39</v>
      </c>
      <c r="D40" s="48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>
      <c r="H41" s="1">
        <f>SUMIF(H2:H40, "&gt;20")</f>
        <v>1473.0000000000002</v>
      </c>
    </row>
  </sheetData>
  <autoFilter ref="A1:X41" xr:uid="{00000000-0001-0000-0000-000000000000}"/>
  <conditionalFormatting sqref="A2:X40">
    <cfRule type="containsText" dxfId="1" priority="2" operator="containsText" text="-1">
      <formula>NOT(ISERROR(SEARCH("-1",A2)))</formula>
    </cfRule>
  </conditionalFormatting>
  <conditionalFormatting sqref="G2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5" sqref="D5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32.83203125" style="1" bestFit="1" customWidth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3" t="s">
        <v>88</v>
      </c>
      <c r="D5" s="1" t="s">
        <v>89</v>
      </c>
      <c r="E5" s="1">
        <v>10</v>
      </c>
    </row>
    <row r="6" spans="1:5">
      <c r="A6" s="6">
        <v>4</v>
      </c>
      <c r="B6" s="2" t="s">
        <v>90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J10" sqref="J10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91</v>
      </c>
    </row>
    <row r="2" spans="1:7" s="40" customFormat="1" ht="21">
      <c r="B2" s="40" t="s">
        <v>92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7" t="s">
        <v>93</v>
      </c>
      <c r="B4" s="1"/>
      <c r="C4" s="1"/>
      <c r="D4" s="1"/>
      <c r="E4" s="1"/>
      <c r="F4" s="1"/>
      <c r="G4" s="1"/>
    </row>
    <row r="5" spans="1:7" ht="1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5">
      <c r="A6" s="7" t="s">
        <v>38</v>
      </c>
      <c r="B6" s="11">
        <f>VLOOKUP(A6,Dataset!$A$1:$X$40,7,FALSE)</f>
        <v>2.7</v>
      </c>
      <c r="C6" s="11">
        <f>VLOOKUP(A6,Dataset!$A$1:$X$40,14,FALSE)</f>
        <v>7.6</v>
      </c>
      <c r="D6" s="11">
        <f>VLOOKUP(A6,Dataset!$A$1:$X$40,18,FALSE)</f>
        <v>4.2</v>
      </c>
      <c r="E6" s="11">
        <f>VLOOKUP(A6,Dataset!$A$1:$X$40,20,FALSE)</f>
        <v>8.9</v>
      </c>
      <c r="F6" s="11">
        <f>VLOOKUP(A6,Dataset!$A$1:$X$40,22,FALSE)</f>
        <v>4.2</v>
      </c>
    </row>
    <row r="7" spans="1:7" ht="15">
      <c r="A7" s="7" t="s">
        <v>41</v>
      </c>
      <c r="B7" s="11">
        <f>VLOOKUP(A7,Dataset!$A$1:$X$40,7,FALSE)</f>
        <v>2.7</v>
      </c>
      <c r="C7" s="11">
        <f>VLOOKUP(A7,Dataset!$A$1:$X$40,14,FALSE)</f>
        <v>7.6</v>
      </c>
      <c r="D7" s="11">
        <f>VLOOKUP(A7,Dataset!$A$1:$X$40,18,FALSE)</f>
        <v>4.2</v>
      </c>
      <c r="E7" s="11">
        <f>VLOOKUP(A7,Dataset!$A$1:$X$40,20,FALSE)</f>
        <v>8.9</v>
      </c>
      <c r="F7" s="11">
        <f>VLOOKUP(A7,Dataset!$A$1:$X$40,22,FALSE)</f>
        <v>4.2</v>
      </c>
    </row>
    <row r="8" spans="1:7" ht="15">
      <c r="A8" s="7" t="s">
        <v>42</v>
      </c>
      <c r="B8" s="11">
        <f>VLOOKUP(A8,Dataset!$A$1:$X$40,7,FALSE)</f>
        <v>3.6</v>
      </c>
      <c r="C8" s="11">
        <f>VLOOKUP(A8,Dataset!$A$1:$X$40,14,FALSE)</f>
        <v>11.1</v>
      </c>
      <c r="D8" s="11">
        <f>VLOOKUP(A8,Dataset!$A$1:$X$40,18,FALSE)</f>
        <v>5.8</v>
      </c>
      <c r="E8" s="11">
        <f>VLOOKUP(A8,Dataset!$A$1:$X$40,20,FALSE)</f>
        <v>12.2</v>
      </c>
      <c r="F8" s="11">
        <f>VLOOKUP(A8,Dataset!$A$1:$X$40,22,FALSE)</f>
        <v>5.8</v>
      </c>
    </row>
    <row r="9" spans="1:7" ht="15">
      <c r="A9" s="7" t="s">
        <v>43</v>
      </c>
      <c r="B9" s="11">
        <f>VLOOKUP(A9,Dataset!$A$1:$X$40,7,FALSE)</f>
        <v>4.9000000000000004</v>
      </c>
      <c r="C9" s="11">
        <f>VLOOKUP(A9,Dataset!$A$1:$X$40,14,FALSE)</f>
        <v>13.3</v>
      </c>
      <c r="D9" s="11">
        <f>VLOOKUP(A9,Dataset!$A$1:$X$40,18,FALSE)</f>
        <v>8.1</v>
      </c>
      <c r="E9" s="11">
        <f>VLOOKUP(A9,Dataset!$A$1:$X$40,20,FALSE)</f>
        <v>17</v>
      </c>
      <c r="F9" s="11">
        <f>VLOOKUP(A9,Dataset!$A$1:$X$40,22,FALSE)</f>
        <v>8.1</v>
      </c>
    </row>
    <row r="10" spans="1:7" ht="15">
      <c r="A10" s="7" t="s">
        <v>46</v>
      </c>
      <c r="B10" s="11">
        <f>VLOOKUP(A10,Dataset!$A$1:$X$40,7,FALSE)</f>
        <v>9.4</v>
      </c>
      <c r="C10" s="11">
        <f>VLOOKUP(A10,Dataset!$A$1:$X$40,14,FALSE)</f>
        <v>28.3</v>
      </c>
      <c r="D10" s="11">
        <f>VLOOKUP(A10,Dataset!$A$1:$X$40,18,FALSE)</f>
        <v>16.100000000000001</v>
      </c>
      <c r="E10" s="11">
        <f>VLOOKUP(A10,Dataset!$A$1:$X$40,20,FALSE)</f>
        <v>32.799999999999997</v>
      </c>
      <c r="F10" s="11">
        <f>VLOOKUP(A10,Dataset!$A$1:$X$40,22,FALSE)</f>
        <v>16.100000000000001</v>
      </c>
    </row>
    <row r="11" spans="1:7" ht="15">
      <c r="A11" s="7" t="s">
        <v>47</v>
      </c>
      <c r="B11" s="11">
        <f>VLOOKUP(A11,Dataset!$A$1:$X$40,7,FALSE)</f>
        <v>11.6</v>
      </c>
      <c r="C11" s="11">
        <f>VLOOKUP(A11,Dataset!$A$1:$X$40,14,FALSE)</f>
        <v>35.200000000000003</v>
      </c>
      <c r="D11" s="11">
        <f>VLOOKUP(A11,Dataset!$A$1:$X$40,18,FALSE)</f>
        <v>21.3</v>
      </c>
      <c r="E11" s="11">
        <f>VLOOKUP(A11,Dataset!$A$1:$X$40,20,FALSE)</f>
        <v>43</v>
      </c>
      <c r="F11" s="11">
        <f>VLOOKUP(A11,Dataset!$A$1:$X$40,22,FALSE)</f>
        <v>21.3</v>
      </c>
    </row>
    <row r="12" spans="1:7" ht="15">
      <c r="A12" s="7" t="s">
        <v>49</v>
      </c>
      <c r="B12" s="11">
        <f>VLOOKUP(A12,Dataset!$A$1:$X$40,7,FALSE)</f>
        <v>18.399999999999999</v>
      </c>
      <c r="C12" s="11">
        <f>VLOOKUP(A12,Dataset!$A$1:$X$40,14,FALSE)</f>
        <v>55.6</v>
      </c>
      <c r="D12" s="11">
        <f>VLOOKUP(A12,Dataset!$A$1:$X$40,18,FALSE)</f>
        <v>33.799999999999997</v>
      </c>
      <c r="E12" s="11">
        <f>VLOOKUP(A12,Dataset!$A$1:$X$40,20,FALSE)</f>
        <v>67.900000000000006</v>
      </c>
      <c r="F12" s="11">
        <f>VLOOKUP(A12,Dataset!$A$1:$X$40,22,FALSE)</f>
        <v>33.799999999999997</v>
      </c>
    </row>
    <row r="13" spans="1:7" ht="15">
      <c r="A13" s="7" t="s">
        <v>50</v>
      </c>
      <c r="B13" s="11">
        <f>VLOOKUP(A13,Dataset!$A$1:$X$40,7,FALSE)</f>
        <v>0</v>
      </c>
      <c r="C13" s="11">
        <f>VLOOKUP(A13,Dataset!$A$1:$X$40,14,FALSE)</f>
        <v>0</v>
      </c>
      <c r="D13" s="11">
        <f>VLOOKUP(A13,Dataset!$A$1:$X$40,18,FALSE)</f>
        <v>0</v>
      </c>
      <c r="E13" s="11">
        <f>VLOOKUP(A13,Dataset!$A$1:$X$40,20,FALSE)</f>
        <v>0</v>
      </c>
      <c r="F13" s="11">
        <f>VLOOKUP(A13,Dataset!$A$1:$X$40,22,FALSE)</f>
        <v>0</v>
      </c>
    </row>
    <row r="14" spans="1:7" ht="15">
      <c r="A14" s="7" t="s">
        <v>51</v>
      </c>
      <c r="B14" s="11">
        <f>VLOOKUP(A14,Dataset!$A$1:$X$40,7,FALSE)</f>
        <v>21.9</v>
      </c>
      <c r="C14" s="11">
        <f>VLOOKUP(A14,Dataset!$A$1:$X$40,14,FALSE)</f>
        <v>61.5</v>
      </c>
      <c r="D14" s="11">
        <f>VLOOKUP(A14,Dataset!$A$1:$X$40,18,FALSE)</f>
        <v>40.1</v>
      </c>
      <c r="E14" s="11">
        <f>VLOOKUP(A14,Dataset!$A$1:$X$40,20,FALSE)</f>
        <v>76.599999999999994</v>
      </c>
      <c r="F14" s="11">
        <f>VLOOKUP(A14,Dataset!$A$1:$X$40,22,FALSE)</f>
        <v>40.1</v>
      </c>
    </row>
    <row r="15" spans="1:7" ht="15">
      <c r="A15" s="7" t="s">
        <v>53</v>
      </c>
      <c r="B15" s="11">
        <f>VLOOKUP(A15,Dataset!$A$1:$X$40,7,FALSE)</f>
        <v>26.8</v>
      </c>
      <c r="C15" s="11">
        <f>VLOOKUP(A15,Dataset!$A$1:$X$40,14,FALSE)</f>
        <v>79.599999999999994</v>
      </c>
      <c r="D15" s="11">
        <f>VLOOKUP(A15,Dataset!$A$1:$X$40,18,FALSE)</f>
        <v>47.9</v>
      </c>
      <c r="E15" s="11">
        <f>VLOOKUP(A15,Dataset!$A$1:$X$40,20,FALSE)</f>
        <v>96.8</v>
      </c>
      <c r="F15" s="11">
        <f>VLOOKUP(A15,Dataset!$A$1:$X$40,22,FALSE)</f>
        <v>47.9</v>
      </c>
    </row>
    <row r="16" spans="1:7" ht="15">
      <c r="A16" s="7" t="s">
        <v>55</v>
      </c>
      <c r="B16" s="11">
        <f>VLOOKUP(A16,Dataset!$A$1:$X$40,7,FALSE)</f>
        <v>28.5</v>
      </c>
      <c r="C16" s="11">
        <f>VLOOKUP(A16,Dataset!$A$1:$X$40,14,FALSE)</f>
        <v>85.4</v>
      </c>
      <c r="D16" s="11">
        <f>VLOOKUP(A16,Dataset!$A$1:$X$40,18,FALSE)</f>
        <v>52.3</v>
      </c>
      <c r="E16" s="11">
        <f>VLOOKUP(A16,Dataset!$A$1:$X$40,20,FALSE)</f>
        <v>106.1</v>
      </c>
      <c r="F16" s="11">
        <f>VLOOKUP(A16,Dataset!$A$1:$X$40,22,FALSE)</f>
        <v>52.3</v>
      </c>
    </row>
    <row r="17" spans="1:6" ht="15">
      <c r="A17" s="7" t="s">
        <v>57</v>
      </c>
      <c r="B17" s="11">
        <f>VLOOKUP(A17,Dataset!$A$1:$X$40,7,FALSE)</f>
        <v>30.7</v>
      </c>
      <c r="C17" s="11">
        <f>VLOOKUP(A17,Dataset!$A$1:$X$40,14,FALSE)</f>
        <v>92.1</v>
      </c>
      <c r="D17" s="11">
        <f>VLOOKUP(A17,Dataset!$A$1:$X$40,18,FALSE)</f>
        <v>57</v>
      </c>
      <c r="E17" s="11">
        <f>VLOOKUP(A17,Dataset!$A$1:$X$40,20,FALSE)</f>
        <v>115.1</v>
      </c>
      <c r="F17" s="11">
        <f>VLOOKUP(A17,Dataset!$A$1:$X$40,22,FALSE)</f>
        <v>57</v>
      </c>
    </row>
    <row r="18" spans="1:6" ht="15">
      <c r="A18" s="7" t="s">
        <v>58</v>
      </c>
      <c r="B18" s="11">
        <f>VLOOKUP(A18,Dataset!$A$1:$X$40,7,FALSE)</f>
        <v>33.799999999999997</v>
      </c>
      <c r="C18" s="11">
        <f>VLOOKUP(A18,Dataset!$A$1:$X$40,14,FALSE)</f>
        <v>101.3</v>
      </c>
      <c r="D18" s="11">
        <f>VLOOKUP(A18,Dataset!$A$1:$X$40,18,FALSE)</f>
        <v>61.4</v>
      </c>
      <c r="E18" s="11">
        <f>VLOOKUP(A18,Dataset!$A$1:$X$40,20,FALSE)</f>
        <v>124.4</v>
      </c>
      <c r="F18" s="11">
        <f>VLOOKUP(A18,Dataset!$A$1:$X$40,22,FALSE)</f>
        <v>61.4</v>
      </c>
    </row>
    <row r="19" spans="1:6" ht="15">
      <c r="A19" s="7" t="s">
        <v>59</v>
      </c>
      <c r="B19" s="11">
        <f>VLOOKUP(A19,Dataset!$A$1:$X$40,7,FALSE)</f>
        <v>34.700000000000003</v>
      </c>
      <c r="C19" s="11">
        <f>VLOOKUP(A19,Dataset!$A$1:$X$40,14,FALSE)</f>
        <v>106.1</v>
      </c>
      <c r="D19" s="11">
        <f>VLOOKUP(A19,Dataset!$A$1:$X$40,18,FALSE)</f>
        <v>63.6</v>
      </c>
      <c r="E19" s="11">
        <f>VLOOKUP(A19,Dataset!$A$1:$X$40,20,FALSE)</f>
        <v>128.6</v>
      </c>
      <c r="F19" s="11">
        <f>VLOOKUP(A19,Dataset!$A$1:$X$40,22,FALSE)</f>
        <v>63.6</v>
      </c>
    </row>
    <row r="20" spans="1:6" ht="15">
      <c r="A20" s="7" t="s">
        <v>64</v>
      </c>
      <c r="B20" s="11">
        <f>VLOOKUP(A20,Dataset!$A$1:$X$40,7,FALSE)</f>
        <v>0</v>
      </c>
      <c r="C20" s="11">
        <f>VLOOKUP(A20,Dataset!$A$1:$X$40,14,FALSE)</f>
        <v>0</v>
      </c>
      <c r="D20" s="11">
        <f>VLOOKUP(A20,Dataset!$A$1:$X$40,18,FALSE)</f>
        <v>0</v>
      </c>
      <c r="E20" s="11">
        <f>VLOOKUP(A20,Dataset!$A$1:$X$40,20,FALSE)</f>
        <v>0</v>
      </c>
      <c r="F20" s="11">
        <f>VLOOKUP(A20,Dataset!$A$1:$X$40,22,FALSE)</f>
        <v>0</v>
      </c>
    </row>
    <row r="21" spans="1:6" ht="15">
      <c r="A21" s="7" t="s">
        <v>65</v>
      </c>
      <c r="B21" s="11">
        <f>VLOOKUP(A21,Dataset!$A$1:$X$40,7,FALSE)</f>
        <v>41.3</v>
      </c>
      <c r="C21" s="11">
        <f>VLOOKUP(A21,Dataset!$A$1:$X$40,14,FALSE)</f>
        <v>124.4</v>
      </c>
      <c r="D21" s="11">
        <f>VLOOKUP(A21,Dataset!$A$1:$X$40,18,FALSE)</f>
        <v>75</v>
      </c>
      <c r="E21" s="11">
        <f>VLOOKUP(A21,Dataset!$A$1:$X$40,20,FALSE)</f>
        <v>151.5</v>
      </c>
      <c r="F21" s="11">
        <f>VLOOKUP(A21,Dataset!$A$1:$X$40,22,FALSE)</f>
        <v>75</v>
      </c>
    </row>
    <row r="22" spans="1:6" ht="15">
      <c r="A22" s="7" t="s">
        <v>68</v>
      </c>
      <c r="B22" s="11">
        <f>VLOOKUP(A22,Dataset!$A$1:$X$40,7,FALSE)</f>
        <v>-1</v>
      </c>
      <c r="C22" s="11">
        <f>VLOOKUP(A22,Dataset!$A$1:$X$40,14,FALSE)</f>
        <v>-1</v>
      </c>
      <c r="D22" s="11">
        <f>VLOOKUP(A22,Dataset!$A$1:$X$40,18,FALSE)</f>
        <v>-1</v>
      </c>
      <c r="E22" s="11">
        <f>VLOOKUP(A22,Dataset!$A$1:$X$40,20,FALSE)</f>
        <v>-1</v>
      </c>
      <c r="F22" s="11">
        <f>VLOOKUP(A22,Dataset!$A$1:$X$40,22,FALSE)</f>
        <v>-1</v>
      </c>
    </row>
    <row r="23" spans="1:6" ht="15">
      <c r="A23" s="7" t="s">
        <v>69</v>
      </c>
      <c r="B23" s="11">
        <f>VLOOKUP(A23,Dataset!$A$1:$X$40,7,FALSE)</f>
        <v>45</v>
      </c>
      <c r="C23" s="11">
        <f>VLOOKUP(A23,Dataset!$A$1:$X$40,14,FALSE)</f>
        <v>133.4</v>
      </c>
      <c r="D23" s="11">
        <f>VLOOKUP(A23,Dataset!$A$1:$X$40,18,FALSE)</f>
        <v>79.400000000000006</v>
      </c>
      <c r="E23" s="11">
        <f>VLOOKUP(A23,Dataset!$A$1:$X$40,20,FALSE)</f>
        <v>160.9</v>
      </c>
      <c r="F23" s="11">
        <f>VLOOKUP(A23,Dataset!$A$1:$X$40,22,FALSE)</f>
        <v>79.400000000000006</v>
      </c>
    </row>
    <row r="24" spans="1:6" ht="15">
      <c r="A24" s="7" t="s">
        <v>70</v>
      </c>
      <c r="B24" s="11">
        <f>VLOOKUP(A24,Dataset!$A$1:$X$40,7,FALSE)</f>
        <v>-1</v>
      </c>
      <c r="C24" s="11">
        <f>VLOOKUP(A24,Dataset!$A$1:$X$40,14,FALSE)</f>
        <v>-1</v>
      </c>
      <c r="D24" s="11">
        <f>VLOOKUP(A24,Dataset!$A$1:$X$40,18,FALSE)</f>
        <v>-1</v>
      </c>
      <c r="E24" s="11">
        <f>VLOOKUP(A24,Dataset!$A$1:$X$40,20,FALSE)</f>
        <v>-1</v>
      </c>
      <c r="F24" s="11">
        <f>VLOOKUP(A24,Dataset!$A$1:$X$40,22,FALSE)</f>
        <v>-1</v>
      </c>
    </row>
    <row r="25" spans="1:6" ht="15">
      <c r="A25" s="7" t="s">
        <v>72</v>
      </c>
      <c r="B25" s="11">
        <f>VLOOKUP(A25,Dataset!$A$1:$X$40,7,FALSE)</f>
        <v>43.3</v>
      </c>
      <c r="C25" s="11">
        <f>VLOOKUP(A25,Dataset!$A$1:$X$40,14,FALSE)</f>
        <v>128.6</v>
      </c>
      <c r="D25" s="11">
        <f>VLOOKUP(A25,Dataset!$A$1:$X$40,18,FALSE)</f>
        <v>79.400000000000006</v>
      </c>
      <c r="E25" s="11">
        <f>VLOOKUP(A25,Dataset!$A$1:$X$40,20,FALSE)</f>
        <v>160.9</v>
      </c>
      <c r="F25" s="11">
        <f>VLOOKUP(A25,Dataset!$A$1:$X$40,22,FALSE)</f>
        <v>79.400000000000006</v>
      </c>
    </row>
    <row r="26" spans="1:6" ht="15">
      <c r="A26" s="7" t="s">
        <v>76</v>
      </c>
      <c r="B26" s="11">
        <f>VLOOKUP(A26,Dataset!$A$1:$X$40,7,FALSE)</f>
        <v>49.1</v>
      </c>
      <c r="C26" s="11">
        <f>VLOOKUP(A26,Dataset!$A$1:$X$40,14,FALSE)</f>
        <v>146.80000000000001</v>
      </c>
      <c r="D26" s="11">
        <f>VLOOKUP(A26,Dataset!$A$1:$X$40,18,FALSE)</f>
        <v>90.9</v>
      </c>
      <c r="E26" s="11">
        <f>VLOOKUP(A26,Dataset!$A$1:$X$40,20,FALSE)</f>
        <v>183.5</v>
      </c>
      <c r="F26" s="11">
        <f>VLOOKUP(A26,Dataset!$A$1:$X$40,22,FALSE)</f>
        <v>90.9</v>
      </c>
    </row>
    <row r="27" spans="1:6" ht="15">
      <c r="A27" s="7" t="s">
        <v>78</v>
      </c>
      <c r="B27" s="11">
        <f>VLOOKUP(A27,Dataset!$A$1:$X$40,7,FALSE)</f>
        <v>51.8</v>
      </c>
      <c r="C27" s="11">
        <f>VLOOKUP(A27,Dataset!$A$1:$X$40,14,FALSE)</f>
        <v>156.4</v>
      </c>
      <c r="D27" s="11">
        <f>VLOOKUP(A27,Dataset!$A$1:$X$40,18,FALSE)</f>
        <v>93.1</v>
      </c>
      <c r="E27" s="11">
        <f>VLOOKUP(A27,Dataset!$A$1:$X$40,20,FALSE)</f>
        <v>188.1</v>
      </c>
      <c r="F27" s="11">
        <f>VLOOKUP(A27,Dataset!$A$1:$X$40,22,FALSE)</f>
        <v>93.1</v>
      </c>
    </row>
    <row r="28" spans="1:6" ht="15">
      <c r="A28" s="18" t="s">
        <v>94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>
      <c r="A29" s="18" t="s">
        <v>95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>
      <c r="A30" s="18" t="s">
        <v>96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K9" sqref="K9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0" customFormat="1" ht="21">
      <c r="A1" s="41" t="s">
        <v>10</v>
      </c>
      <c r="B1" s="40" t="s">
        <v>97</v>
      </c>
    </row>
    <row r="2" spans="1:10" customFormat="1" ht="12.95"/>
    <row r="3" spans="1:10" s="2" customFormat="1">
      <c r="B3" s="1"/>
    </row>
    <row r="4" spans="1:10" s="2" customFormat="1">
      <c r="B4" s="1" t="s">
        <v>98</v>
      </c>
    </row>
    <row r="5" spans="1:10" ht="18.95">
      <c r="A5" s="42" t="s">
        <v>99</v>
      </c>
      <c r="B5" s="39" t="s">
        <v>100</v>
      </c>
    </row>
    <row r="6" spans="1:10" ht="18.95">
      <c r="A6" s="42" t="s">
        <v>101</v>
      </c>
      <c r="B6" s="39" t="s">
        <v>102</v>
      </c>
    </row>
    <row r="7" spans="1:10" ht="18.95">
      <c r="A7" s="42"/>
      <c r="B7" s="39" t="s">
        <v>103</v>
      </c>
    </row>
    <row r="9" spans="1:10" ht="24">
      <c r="A9" s="17" t="s">
        <v>104</v>
      </c>
      <c r="I9" s="2"/>
      <c r="J9" s="2"/>
    </row>
    <row r="10" spans="1:10">
      <c r="A10" s="32" t="s">
        <v>105</v>
      </c>
      <c r="B10" s="16" t="s">
        <v>106</v>
      </c>
      <c r="C10" s="16" t="s">
        <v>107</v>
      </c>
      <c r="D10" s="16" t="s">
        <v>108</v>
      </c>
      <c r="E10" s="16" t="s">
        <v>109</v>
      </c>
      <c r="F10" s="16" t="s">
        <v>110</v>
      </c>
      <c r="I10" s="2"/>
      <c r="J10" s="2"/>
    </row>
    <row r="11" spans="1:10">
      <c r="A11" s="8" t="s">
        <v>111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0" ht="24">
      <c r="A14" s="17" t="s">
        <v>93</v>
      </c>
    </row>
    <row r="15" spans="1:10">
      <c r="A15" s="13" t="s">
        <v>112</v>
      </c>
      <c r="B15" s="16" t="s">
        <v>106</v>
      </c>
      <c r="C15" s="14" t="s">
        <v>107</v>
      </c>
      <c r="D15" s="16" t="s">
        <v>108</v>
      </c>
      <c r="E15" s="14" t="s">
        <v>109</v>
      </c>
      <c r="F15" s="16" t="s">
        <v>110</v>
      </c>
    </row>
    <row r="16" spans="1:10">
      <c r="A16" s="7" t="s">
        <v>111</v>
      </c>
      <c r="B16" s="11" t="str" cm="1">
        <f t="array" ref="B16:F16">_xlfn.TEXTSPLIT(A16,"-")</f>
        <v>20000</v>
      </c>
      <c r="C16" s="1" t="str">
        <v>Monday</v>
      </c>
      <c r="D16" s="11" t="str">
        <v>0</v>
      </c>
      <c r="E16" s="1" t="str">
        <v>Sunday</v>
      </c>
      <c r="F16" s="11" t="str">
        <v>24</v>
      </c>
    </row>
    <row r="17" spans="1:6">
      <c r="A17" s="7" t="s">
        <v>113</v>
      </c>
      <c r="B17" s="11" t="str" cm="1">
        <f t="array" ref="B17:F17">_xlfn.TEXTSPLIT(A17,"-")</f>
        <v>20002</v>
      </c>
      <c r="C17" s="1" t="str">
        <v>Monday</v>
      </c>
      <c r="D17" s="11" t="str">
        <v>0</v>
      </c>
      <c r="E17" s="1" t="str">
        <v>Sunday</v>
      </c>
      <c r="F17" s="11" t="str">
        <v>24</v>
      </c>
    </row>
    <row r="18" spans="1:6">
      <c r="A18" s="7" t="s">
        <v>114</v>
      </c>
      <c r="B18" s="11" t="str" cm="1">
        <f t="array" ref="B18:F18">_xlfn.TEXTSPLIT(A18,"-")</f>
        <v>20004</v>
      </c>
      <c r="C18" s="1" t="str">
        <v>Monday</v>
      </c>
      <c r="D18" s="11" t="str">
        <v>0</v>
      </c>
      <c r="E18" s="1" t="str">
        <v>Sunday</v>
      </c>
      <c r="F18" s="11" t="str">
        <v>24</v>
      </c>
    </row>
    <row r="19" spans="1:6">
      <c r="A19" s="7" t="s">
        <v>115</v>
      </c>
      <c r="B19" s="11" t="str" cm="1">
        <f t="array" ref="B19:F19">_xlfn.TEXTSPLIT(A19,"-")</f>
        <v>20006</v>
      </c>
      <c r="C19" s="1" t="str">
        <v>Monday</v>
      </c>
      <c r="D19" s="11" t="str">
        <v>0</v>
      </c>
      <c r="E19" s="1" t="str">
        <v>Sunday</v>
      </c>
      <c r="F19" s="11" t="str">
        <v>24</v>
      </c>
    </row>
    <row r="20" spans="1:6">
      <c r="A20" s="7" t="s">
        <v>116</v>
      </c>
      <c r="B20" s="11" t="str" cm="1">
        <f t="array" ref="B20:F20">_xlfn.TEXTSPLIT(A20,"-")</f>
        <v>20008</v>
      </c>
      <c r="C20" s="1" t="str">
        <v>Monday</v>
      </c>
      <c r="D20" s="11" t="str">
        <v>0</v>
      </c>
      <c r="E20" s="1" t="str">
        <v>Sunday</v>
      </c>
      <c r="F20" s="11" t="str">
        <v>24</v>
      </c>
    </row>
    <row r="21" spans="1:6">
      <c r="A21" s="7" t="s">
        <v>117</v>
      </c>
      <c r="B21" s="11" t="str" cm="1">
        <f t="array" ref="B21:F21">_xlfn.TEXTSPLIT(A21,"-")</f>
        <v>20010</v>
      </c>
      <c r="C21" s="1" t="str">
        <v>Monday</v>
      </c>
      <c r="D21" s="11" t="str">
        <v>0</v>
      </c>
      <c r="E21" s="1" t="str">
        <v>Sunday</v>
      </c>
      <c r="F21" s="11" t="str">
        <v>24</v>
      </c>
    </row>
    <row r="22" spans="1:6">
      <c r="A22" s="7" t="s">
        <v>118</v>
      </c>
      <c r="B22" s="11" t="str" cm="1">
        <f t="array" ref="B22:F22">_xlfn.TEXTSPLIT(A22,"-")</f>
        <v>20012</v>
      </c>
      <c r="C22" s="1" t="str">
        <v>Monday</v>
      </c>
      <c r="D22" s="11" t="str">
        <v>0</v>
      </c>
      <c r="E22" s="1" t="str">
        <v>Sunday</v>
      </c>
      <c r="F22" s="11" t="str">
        <v>24</v>
      </c>
    </row>
    <row r="23" spans="1:6">
      <c r="A23" s="7" t="s">
        <v>119</v>
      </c>
      <c r="B23" s="11" t="str" cm="1">
        <f t="array" ref="B23:F23">_xlfn.TEXTSPLIT(A23,"-")</f>
        <v>20014</v>
      </c>
      <c r="C23" s="1" t="str">
        <v>Monday</v>
      </c>
      <c r="D23" s="11" t="str">
        <v>0</v>
      </c>
      <c r="E23" s="1" t="str">
        <v>Sunday</v>
      </c>
      <c r="F23" s="11" t="str">
        <v>24</v>
      </c>
    </row>
    <row r="24" spans="1:6">
      <c r="A24" s="7" t="s">
        <v>120</v>
      </c>
      <c r="B24" s="11" t="str" cm="1">
        <f t="array" ref="B24:F24">_xlfn.TEXTSPLIT(A24,"-")</f>
        <v>20016</v>
      </c>
      <c r="C24" s="1" t="str">
        <v>Monday</v>
      </c>
      <c r="D24" s="11" t="str">
        <v>0</v>
      </c>
      <c r="E24" s="1" t="str">
        <v>Sunday</v>
      </c>
      <c r="F24" s="11" t="str">
        <v>24</v>
      </c>
    </row>
    <row r="25" spans="1:6">
      <c r="A25" s="7" t="s">
        <v>121</v>
      </c>
      <c r="B25" s="11" t="str" cm="1">
        <f t="array" ref="B25:F25">_xlfn.TEXTSPLIT(A25,"-")</f>
        <v>20018</v>
      </c>
      <c r="C25" s="1" t="str">
        <v>Monday</v>
      </c>
      <c r="D25" s="11" t="str">
        <v>0</v>
      </c>
      <c r="E25" s="1" t="str">
        <v>Sunday</v>
      </c>
      <c r="F25" s="11" t="str">
        <v>24</v>
      </c>
    </row>
    <row r="26" spans="1:6">
      <c r="A26" s="7" t="s">
        <v>122</v>
      </c>
      <c r="B26" s="11" t="str" cm="1">
        <f t="array" ref="B26:F26">_xlfn.TEXTSPLIT(A26,"-")</f>
        <v>20020</v>
      </c>
      <c r="C26" s="1" t="str">
        <v>Monday</v>
      </c>
      <c r="D26" s="11" t="str">
        <v>0</v>
      </c>
      <c r="E26" s="1" t="str">
        <v>Sunday</v>
      </c>
      <c r="F26" s="11" t="str">
        <v>24</v>
      </c>
    </row>
    <row r="27" spans="1:6">
      <c r="A27" s="7" t="s">
        <v>123</v>
      </c>
      <c r="B27" s="11" t="str" cm="1">
        <f t="array" ref="B27:F27">_xlfn.TEXTSPLIT(A27,"-")</f>
        <v>20022</v>
      </c>
      <c r="C27" s="1" t="str">
        <v>Monday</v>
      </c>
      <c r="D27" s="11" t="str">
        <v>0</v>
      </c>
      <c r="E27" s="1" t="str">
        <v>Sunday</v>
      </c>
      <c r="F27" s="11" t="str">
        <v>24</v>
      </c>
    </row>
    <row r="28" spans="1:6">
      <c r="A28" s="7" t="s">
        <v>124</v>
      </c>
      <c r="B28" s="11" t="str" cm="1">
        <f t="array" ref="B28:F28">_xlfn.TEXTSPLIT(A28,"-")</f>
        <v>20024</v>
      </c>
      <c r="C28" s="1" t="str">
        <v>Monday</v>
      </c>
      <c r="D28" s="11" t="str">
        <v>0</v>
      </c>
      <c r="E28" s="1" t="str">
        <v>Sunday</v>
      </c>
      <c r="F28" s="11" t="str">
        <v>24</v>
      </c>
    </row>
    <row r="29" spans="1:6">
      <c r="A29" s="7" t="s">
        <v>125</v>
      </c>
      <c r="B29" s="11" t="str" cm="1">
        <f t="array" ref="B29:F29">_xlfn.TEXTSPLIT(A29,"-")</f>
        <v>20026</v>
      </c>
      <c r="C29" s="1" t="str">
        <v>Monday</v>
      </c>
      <c r="D29" s="11" t="str">
        <v>0</v>
      </c>
      <c r="E29" s="1" t="str">
        <v>Sunday</v>
      </c>
      <c r="F29" s="11" t="str">
        <v>24</v>
      </c>
    </row>
    <row r="30" spans="1:6">
      <c r="A30" s="7" t="s">
        <v>126</v>
      </c>
      <c r="B30" s="11" t="str" cm="1">
        <f t="array" ref="B30:F30">_xlfn.TEXTSPLIT(A30,"-")</f>
        <v>20028</v>
      </c>
      <c r="C30" s="1" t="str">
        <v>Monday</v>
      </c>
      <c r="D30" s="11" t="str">
        <v>0</v>
      </c>
      <c r="E30" s="1" t="str">
        <v>Sunday</v>
      </c>
      <c r="F30" s="11" t="str">
        <v>24</v>
      </c>
    </row>
    <row r="31" spans="1:6">
      <c r="A31" s="7" t="s">
        <v>127</v>
      </c>
      <c r="B31" s="11" t="str" cm="1">
        <f t="array" ref="B31:F31">_xlfn.TEXTSPLIT(A31,"-")</f>
        <v>20030</v>
      </c>
      <c r="C31" s="1" t="str">
        <v>Monday</v>
      </c>
      <c r="D31" s="11" t="str">
        <v>0</v>
      </c>
      <c r="E31" s="1" t="str">
        <v>Sunday</v>
      </c>
      <c r="F31" s="11" t="str">
        <v>24</v>
      </c>
    </row>
    <row r="32" spans="1:6">
      <c r="A32" s="7" t="s">
        <v>128</v>
      </c>
      <c r="B32" s="11" t="str" cm="1">
        <f t="array" ref="B32:F32">_xlfn.TEXTSPLIT(A32,"-")</f>
        <v>20032</v>
      </c>
      <c r="C32" s="1" t="str">
        <v>Monday</v>
      </c>
      <c r="D32" s="11" t="str">
        <v>0</v>
      </c>
      <c r="E32" s="1" t="str">
        <v>Sunday</v>
      </c>
      <c r="F32" s="11" t="str">
        <v>24</v>
      </c>
    </row>
    <row r="33" spans="1:6">
      <c r="A33" s="7" t="s">
        <v>129</v>
      </c>
      <c r="B33" s="11" t="str" cm="1">
        <f t="array" ref="B33:F33">_xlfn.TEXTSPLIT(A33,"-")</f>
        <v>20034</v>
      </c>
      <c r="C33" s="1" t="str">
        <v>Monday</v>
      </c>
      <c r="D33" s="11" t="str">
        <v>0</v>
      </c>
      <c r="E33" s="1" t="str">
        <v>Sunday</v>
      </c>
      <c r="F33" s="11" t="str">
        <v>24</v>
      </c>
    </row>
    <row r="34" spans="1:6">
      <c r="A34" s="7" t="s">
        <v>130</v>
      </c>
      <c r="B34" s="11" t="str" cm="1">
        <f t="array" ref="B34:F34">_xlfn.TEXTSPLIT(A34,"-")</f>
        <v>20036</v>
      </c>
      <c r="C34" s="1" t="str">
        <v>Monday</v>
      </c>
      <c r="D34" s="11" t="str">
        <v>0</v>
      </c>
      <c r="E34" s="1" t="str">
        <v>Sunday</v>
      </c>
      <c r="F34" s="11" t="str">
        <v>24</v>
      </c>
    </row>
    <row r="35" spans="1:6">
      <c r="A35" s="7" t="s">
        <v>131</v>
      </c>
      <c r="B35" s="11" t="str" cm="1">
        <f t="array" ref="B35:F35">_xlfn.TEXTSPLIT(A35,"-")</f>
        <v>20038</v>
      </c>
      <c r="C35" s="1" t="str">
        <v>Monday</v>
      </c>
      <c r="D35" s="11" t="str">
        <v>0</v>
      </c>
      <c r="E35" s="1" t="str">
        <v>Sunday</v>
      </c>
      <c r="F35" s="11" t="str">
        <v>24</v>
      </c>
    </row>
    <row r="36" spans="1:6">
      <c r="A36" s="7" t="s">
        <v>132</v>
      </c>
      <c r="B36" s="11" t="str" cm="1">
        <f t="array" ref="B36:F36">_xlfn.TEXTSPLIT(A36,"-")</f>
        <v>20040</v>
      </c>
      <c r="C36" s="1" t="str">
        <v>Monday</v>
      </c>
      <c r="D36" s="11" t="str">
        <v>0</v>
      </c>
      <c r="E36" s="1" t="str">
        <v>Sunday</v>
      </c>
      <c r="F36" s="11" t="str">
        <v>24</v>
      </c>
    </row>
    <row r="37" spans="1:6">
      <c r="A37" s="7" t="s">
        <v>133</v>
      </c>
      <c r="B37" s="11" t="str" cm="1">
        <f t="array" ref="B37:F37">_xlfn.TEXTSPLIT(A37,"-")</f>
        <v>20042</v>
      </c>
      <c r="C37" s="1" t="str">
        <v>Monday</v>
      </c>
      <c r="D37" s="11" t="str">
        <v>0</v>
      </c>
      <c r="E37" s="1" t="str">
        <v>Sunday</v>
      </c>
      <c r="F37" s="11" t="str">
        <v>24</v>
      </c>
    </row>
    <row r="38" spans="1:6">
      <c r="A38" s="7" t="s">
        <v>134</v>
      </c>
      <c r="B38" s="11" t="str" cm="1">
        <f t="array" ref="B38:F38">_xlfn.TEXTSPLIT(A38,"-")</f>
        <v>20044</v>
      </c>
      <c r="C38" s="1" t="str">
        <v>Monday</v>
      </c>
      <c r="D38" s="11" t="str">
        <v>0</v>
      </c>
      <c r="E38" s="1" t="str">
        <v>Sunday</v>
      </c>
      <c r="F38" s="11" t="str">
        <v>24</v>
      </c>
    </row>
    <row r="39" spans="1:6">
      <c r="A39" s="7" t="s">
        <v>135</v>
      </c>
      <c r="B39" s="11" t="str" cm="1">
        <f t="array" ref="B39:F39">_xlfn.TEXTSPLIT(A39,"-")</f>
        <v>20046</v>
      </c>
      <c r="C39" s="1" t="str">
        <v>Monday</v>
      </c>
      <c r="D39" s="11" t="str">
        <v>0</v>
      </c>
      <c r="E39" s="1" t="str">
        <v>Sunday</v>
      </c>
      <c r="F39" s="11" t="str">
        <v>24</v>
      </c>
    </row>
    <row r="40" spans="1:6">
      <c r="A40" s="7" t="s">
        <v>136</v>
      </c>
      <c r="B40" s="11" t="str" cm="1">
        <f t="array" ref="B40:F40">_xlfn.TEXTSPLIT(A40,"-")</f>
        <v>20048</v>
      </c>
      <c r="C40" s="1" t="str">
        <v>Monday</v>
      </c>
      <c r="D40" s="11" t="str">
        <v>0</v>
      </c>
      <c r="E40" s="1" t="str">
        <v>Sunday</v>
      </c>
      <c r="F40" s="11" t="str">
        <v>24</v>
      </c>
    </row>
    <row r="41" spans="1:6">
      <c r="A41" s="7" t="s">
        <v>137</v>
      </c>
      <c r="B41" s="11" t="str" cm="1">
        <f t="array" ref="B41:F41">_xlfn.TEXTSPLIT(A41,"-")</f>
        <v>20050</v>
      </c>
      <c r="C41" s="1" t="str">
        <v>Monday</v>
      </c>
      <c r="D41" s="11" t="str">
        <v>0</v>
      </c>
      <c r="E41" s="1" t="str">
        <v>Sunday</v>
      </c>
      <c r="F41" s="11" t="str">
        <v>24</v>
      </c>
    </row>
    <row r="42" spans="1:6">
      <c r="A42" s="7" t="s">
        <v>138</v>
      </c>
      <c r="B42" s="11" t="str" cm="1">
        <f t="array" ref="B42:F42">_xlfn.TEXTSPLIT(A42,"-")</f>
        <v>20052</v>
      </c>
      <c r="C42" s="1" t="str">
        <v>Monday</v>
      </c>
      <c r="D42" s="11" t="str">
        <v>0</v>
      </c>
      <c r="E42" s="1" t="str">
        <v>Sunday</v>
      </c>
      <c r="F42" s="11" t="str">
        <v>24</v>
      </c>
    </row>
    <row r="43" spans="1:6">
      <c r="A43" s="7" t="s">
        <v>139</v>
      </c>
      <c r="B43" s="11" t="str" cm="1">
        <f t="array" ref="B43:F43">_xlfn.TEXTSPLIT(A43,"-")</f>
        <v>20054</v>
      </c>
      <c r="C43" s="1" t="str">
        <v>Monday</v>
      </c>
      <c r="D43" s="11" t="str">
        <v>0</v>
      </c>
      <c r="E43" s="1" t="str">
        <v>Sunday</v>
      </c>
      <c r="F43" s="11" t="str">
        <v>24</v>
      </c>
    </row>
    <row r="44" spans="1:6">
      <c r="A44" s="7" t="s">
        <v>140</v>
      </c>
      <c r="B44" s="11" t="str" cm="1">
        <f t="array" ref="B44:F44">_xlfn.TEXTSPLIT(A44,"-")</f>
        <v>20058</v>
      </c>
      <c r="C44" s="1" t="str">
        <v>Monday</v>
      </c>
      <c r="D44" s="11" t="str">
        <v>0</v>
      </c>
      <c r="E44" s="1" t="str">
        <v>Sunday</v>
      </c>
      <c r="F44" s="11" t="str">
        <v>24</v>
      </c>
    </row>
    <row r="45" spans="1:6">
      <c r="A45" s="7" t="s">
        <v>141</v>
      </c>
      <c r="B45" s="11" t="str" cm="1">
        <f t="array" ref="B45:F45">_xlfn.TEXTSPLIT(A45,"-")</f>
        <v>20060</v>
      </c>
      <c r="C45" s="1" t="str">
        <v>Monday</v>
      </c>
      <c r="D45" s="11" t="str">
        <v>0</v>
      </c>
      <c r="E45" s="1" t="str">
        <v>Sunday</v>
      </c>
      <c r="F45" s="11" t="str">
        <v>24</v>
      </c>
    </row>
    <row r="46" spans="1:6">
      <c r="A46" s="7" t="s">
        <v>142</v>
      </c>
      <c r="B46" s="11" t="str" cm="1">
        <f t="array" ref="B46:F46">_xlfn.TEXTSPLIT(A46,"-")</f>
        <v>21000</v>
      </c>
      <c r="C46" s="1" t="str">
        <v>Monday</v>
      </c>
      <c r="D46" s="11" t="str">
        <v>0</v>
      </c>
      <c r="E46" s="1" t="str">
        <v>Sunday</v>
      </c>
      <c r="F46" s="11" t="str">
        <v>24</v>
      </c>
    </row>
    <row r="47" spans="1:6">
      <c r="A47" s="7" t="s">
        <v>143</v>
      </c>
      <c r="B47" s="11" t="str" cm="1">
        <f t="array" ref="B47:F47">_xlfn.TEXTSPLIT(A47,"-")</f>
        <v>21002</v>
      </c>
      <c r="C47" s="1" t="str">
        <v>Monday</v>
      </c>
      <c r="D47" s="11" t="str">
        <v>0</v>
      </c>
      <c r="E47" s="1" t="str">
        <v>Sunday</v>
      </c>
      <c r="F47" s="11" t="str">
        <v>24</v>
      </c>
    </row>
    <row r="48" spans="1:6">
      <c r="A48" s="7" t="s">
        <v>144</v>
      </c>
      <c r="B48" s="11" t="str" cm="1">
        <f t="array" ref="B48:F48">_xlfn.TEXTSPLIT(A48,"-")</f>
        <v>21004</v>
      </c>
      <c r="C48" s="1" t="str">
        <v>Monday</v>
      </c>
      <c r="D48" s="11" t="str">
        <v>0</v>
      </c>
      <c r="E48" s="1" t="str">
        <v>Sunday</v>
      </c>
      <c r="F48" s="11" t="str">
        <v>24</v>
      </c>
    </row>
    <row r="49" spans="1:6">
      <c r="A49" s="7" t="s">
        <v>145</v>
      </c>
      <c r="B49" s="11" t="str" cm="1">
        <f t="array" ref="B49:F49">_xlfn.TEXTSPLIT(A49,"-")</f>
        <v>21006</v>
      </c>
      <c r="C49" s="1" t="str">
        <v>Monday</v>
      </c>
      <c r="D49" s="11" t="str">
        <v>0</v>
      </c>
      <c r="E49" s="1" t="str">
        <v>Sunday</v>
      </c>
      <c r="F49" s="11" t="str">
        <v>24</v>
      </c>
    </row>
    <row r="50" spans="1:6">
      <c r="A50" s="7" t="s">
        <v>146</v>
      </c>
      <c r="B50" s="11" t="str" cm="1">
        <f t="array" ref="B50:F50">_xlfn.TEXTSPLIT(A50,"-")</f>
        <v>21008</v>
      </c>
      <c r="C50" s="1" t="str">
        <v>Monday</v>
      </c>
      <c r="D50" s="11" t="str">
        <v>0</v>
      </c>
      <c r="E50" s="1" t="str">
        <v>Sunday</v>
      </c>
      <c r="F50" s="11" t="str">
        <v>24</v>
      </c>
    </row>
    <row r="51" spans="1:6">
      <c r="A51" s="7" t="s">
        <v>147</v>
      </c>
      <c r="B51" s="11" t="str" cm="1">
        <f t="array" ref="B51:F51">_xlfn.TEXTSPLIT(A51,"-")</f>
        <v>21010</v>
      </c>
      <c r="C51" s="1" t="str">
        <v>Monday</v>
      </c>
      <c r="D51" s="11" t="str">
        <v>0</v>
      </c>
      <c r="E51" s="1" t="str">
        <v>Sunday</v>
      </c>
      <c r="F51" s="11" t="str">
        <v>24</v>
      </c>
    </row>
    <row r="52" spans="1:6">
      <c r="A52" s="7" t="s">
        <v>148</v>
      </c>
      <c r="B52" s="11" t="str" cm="1">
        <f t="array" ref="B52:F52">_xlfn.TEXTSPLIT(A52,"-")</f>
        <v>21012</v>
      </c>
      <c r="C52" s="1" t="str">
        <v>Monday</v>
      </c>
      <c r="D52" s="11" t="str">
        <v>0</v>
      </c>
      <c r="E52" s="1" t="str">
        <v>Sunday</v>
      </c>
      <c r="F52" s="11" t="str">
        <v>24</v>
      </c>
    </row>
    <row r="53" spans="1:6">
      <c r="A53" s="7" t="s">
        <v>149</v>
      </c>
      <c r="B53" s="11" t="str" cm="1">
        <f t="array" ref="B53:F53">_xlfn.TEXTSPLIT(A53,"-")</f>
        <v>21014</v>
      </c>
      <c r="C53" s="1" t="str">
        <v>Monday</v>
      </c>
      <c r="D53" s="11" t="str">
        <v>0</v>
      </c>
      <c r="E53" s="1" t="str">
        <v>Sunday</v>
      </c>
      <c r="F53" s="11" t="str">
        <v>24</v>
      </c>
    </row>
    <row r="54" spans="1:6">
      <c r="A54" s="8" t="s">
        <v>150</v>
      </c>
      <c r="B54" s="11" t="str" cm="1">
        <f t="array" ref="B54:F54">_xlfn.TEXTSPLIT(A54,"-")</f>
        <v>21016</v>
      </c>
      <c r="C54" s="9" t="str">
        <v>Monday</v>
      </c>
      <c r="D54" s="12" t="str">
        <v>0</v>
      </c>
      <c r="E54" s="9" t="str">
        <v>Sunday</v>
      </c>
      <c r="F54" s="12" t="str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4"/>
  <sheetViews>
    <sheetView topLeftCell="A7" zoomScaleNormal="100" workbookViewId="0">
      <selection activeCell="I12" sqref="I12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6.33203125" style="2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>
      <c r="A1" s="41" t="s">
        <v>11</v>
      </c>
      <c r="B1" s="40" t="s">
        <v>151</v>
      </c>
    </row>
    <row r="2" spans="1:4" ht="18.95">
      <c r="B2" s="39" t="s">
        <v>152</v>
      </c>
    </row>
    <row r="5" spans="1:4" ht="15">
      <c r="B5" s="1" t="s">
        <v>98</v>
      </c>
    </row>
    <row r="6" spans="1:4" ht="15">
      <c r="A6" s="3" t="s">
        <v>99</v>
      </c>
      <c r="B6" s="1" t="s">
        <v>153</v>
      </c>
    </row>
    <row r="7" spans="1:4" ht="15">
      <c r="A7" s="3" t="s">
        <v>101</v>
      </c>
      <c r="B7" s="1" t="s">
        <v>154</v>
      </c>
    </row>
    <row r="8" spans="1:4">
      <c r="B8" s="2" t="s">
        <v>155</v>
      </c>
    </row>
    <row r="10" spans="1:4" ht="23.25">
      <c r="A10" s="17" t="s">
        <v>93</v>
      </c>
    </row>
    <row r="11" spans="1:4" ht="15">
      <c r="A11" s="31" t="s">
        <v>156</v>
      </c>
      <c r="B11" s="16" t="s">
        <v>157</v>
      </c>
      <c r="C11" s="16" t="s">
        <v>158</v>
      </c>
      <c r="D11" s="16" t="s">
        <v>159</v>
      </c>
    </row>
    <row r="12" spans="1:4" ht="19.5" customHeight="1">
      <c r="A12" s="31">
        <v>44927</v>
      </c>
      <c r="B12" s="16" t="s">
        <v>160</v>
      </c>
      <c r="C12" s="16">
        <v>200</v>
      </c>
      <c r="D12" s="46">
        <f>IFERROR(C12,20)</f>
        <v>200</v>
      </c>
    </row>
    <row r="13" spans="1:4" ht="15">
      <c r="A13" s="31">
        <v>44928</v>
      </c>
      <c r="B13" s="16" t="s">
        <v>161</v>
      </c>
      <c r="C13" s="16" t="e">
        <v>#N/A</v>
      </c>
      <c r="D13" s="46">
        <f t="shared" ref="D13:D21" si="0">IFERROR(C13,20)</f>
        <v>20</v>
      </c>
    </row>
    <row r="14" spans="1:4" ht="15">
      <c r="A14" s="31">
        <v>44929</v>
      </c>
      <c r="B14" s="16" t="s">
        <v>162</v>
      </c>
      <c r="C14" s="16">
        <v>50</v>
      </c>
      <c r="D14" s="46">
        <f t="shared" si="0"/>
        <v>50</v>
      </c>
    </row>
    <row r="15" spans="1:4" ht="15">
      <c r="A15" s="31">
        <v>44930</v>
      </c>
      <c r="B15" s="16" t="s">
        <v>163</v>
      </c>
      <c r="C15" s="16" t="e">
        <v>#N/A</v>
      </c>
      <c r="D15" s="46">
        <f t="shared" si="0"/>
        <v>20</v>
      </c>
    </row>
    <row r="16" spans="1:4" ht="15">
      <c r="A16" s="31">
        <v>44931</v>
      </c>
      <c r="B16" s="16" t="s">
        <v>164</v>
      </c>
      <c r="C16" s="16">
        <v>10</v>
      </c>
      <c r="D16" s="46">
        <f t="shared" si="0"/>
        <v>10</v>
      </c>
    </row>
    <row r="17" spans="1:4" ht="15">
      <c r="A17" s="31">
        <v>44932</v>
      </c>
      <c r="B17" s="16" t="s">
        <v>165</v>
      </c>
      <c r="C17" s="16">
        <v>150</v>
      </c>
      <c r="D17" s="46">
        <f t="shared" si="0"/>
        <v>150</v>
      </c>
    </row>
    <row r="18" spans="1:4" ht="15">
      <c r="A18" s="31">
        <v>44933</v>
      </c>
      <c r="B18" s="16" t="s">
        <v>166</v>
      </c>
      <c r="C18" s="16">
        <v>80</v>
      </c>
      <c r="D18" s="46">
        <f t="shared" si="0"/>
        <v>80</v>
      </c>
    </row>
    <row r="19" spans="1:4" ht="15">
      <c r="A19" s="31">
        <v>44934</v>
      </c>
      <c r="B19" s="16" t="s">
        <v>167</v>
      </c>
      <c r="C19" s="16" t="e">
        <v>#N/A</v>
      </c>
      <c r="D19" s="46">
        <f t="shared" si="0"/>
        <v>20</v>
      </c>
    </row>
    <row r="20" spans="1:4" ht="15">
      <c r="A20" s="31">
        <v>44935</v>
      </c>
      <c r="B20" s="16" t="s">
        <v>168</v>
      </c>
      <c r="C20" s="16">
        <v>30</v>
      </c>
      <c r="D20" s="46">
        <f t="shared" si="0"/>
        <v>30</v>
      </c>
    </row>
    <row r="21" spans="1:4" ht="15">
      <c r="A21" s="31">
        <v>44936</v>
      </c>
      <c r="B21" s="16" t="s">
        <v>169</v>
      </c>
      <c r="C21" s="16" t="e">
        <v>#N/A</v>
      </c>
      <c r="D21" s="46">
        <f t="shared" si="0"/>
        <v>20</v>
      </c>
    </row>
    <row r="22" spans="1:4" ht="15">
      <c r="B22" s="16" t="s">
        <v>170</v>
      </c>
      <c r="C22" s="24">
        <f>SUM(D12:D21)</f>
        <v>600</v>
      </c>
    </row>
    <row r="23" spans="1:4" ht="12.75"/>
    <row r="24" spans="1:4" ht="12.7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2" zoomScaleNormal="100" workbookViewId="0">
      <selection activeCell="C24" sqref="C24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171</v>
      </c>
    </row>
    <row r="3" spans="1:14" ht="15">
      <c r="B3" s="1" t="s">
        <v>98</v>
      </c>
    </row>
    <row r="4" spans="1:14" ht="18.95">
      <c r="A4" s="42" t="s">
        <v>99</v>
      </c>
      <c r="B4" s="1"/>
      <c r="C4" s="2" t="s">
        <v>172</v>
      </c>
    </row>
    <row r="5" spans="1:14" ht="18.75">
      <c r="A5" s="42" t="s">
        <v>101</v>
      </c>
      <c r="B5" s="1"/>
      <c r="C5" s="50" t="s">
        <v>173</v>
      </c>
    </row>
    <row r="6" spans="1:14" ht="15">
      <c r="A6" s="3"/>
      <c r="B6" s="1"/>
      <c r="C6" s="50" t="s">
        <v>174</v>
      </c>
    </row>
    <row r="8" spans="1:14" ht="24">
      <c r="A8" s="17" t="s">
        <v>93</v>
      </c>
      <c r="M8" s="17" t="s">
        <v>175</v>
      </c>
    </row>
    <row r="9" spans="1:14" ht="15">
      <c r="A9" s="25"/>
      <c r="B9" s="25" t="s">
        <v>176</v>
      </c>
      <c r="C9" s="25" t="s">
        <v>177</v>
      </c>
      <c r="D9" s="25" t="s">
        <v>178</v>
      </c>
      <c r="E9" s="25" t="s">
        <v>179</v>
      </c>
      <c r="F9" s="25" t="s">
        <v>180</v>
      </c>
      <c r="G9" s="25" t="s">
        <v>181</v>
      </c>
      <c r="H9" s="25" t="s">
        <v>182</v>
      </c>
      <c r="I9" s="25" t="s">
        <v>183</v>
      </c>
      <c r="J9" s="25" t="s">
        <v>184</v>
      </c>
      <c r="M9" s="18" t="s">
        <v>15</v>
      </c>
      <c r="N9" s="18" t="s">
        <v>185</v>
      </c>
    </row>
    <row r="10" spans="1:14" ht="15">
      <c r="A10" s="25" t="s">
        <v>176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176</v>
      </c>
    </row>
    <row r="11" spans="1:14" ht="15">
      <c r="A11" s="25" t="s">
        <v>177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177</v>
      </c>
    </row>
    <row r="12" spans="1:14" ht="15">
      <c r="A12" s="25" t="s">
        <v>178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178</v>
      </c>
    </row>
    <row r="13" spans="1:14" ht="15">
      <c r="A13" s="25" t="s">
        <v>179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179</v>
      </c>
    </row>
    <row r="14" spans="1:14" ht="15">
      <c r="A14" s="25" t="s">
        <v>180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180</v>
      </c>
    </row>
    <row r="15" spans="1:14" ht="15">
      <c r="A15" s="25" t="s">
        <v>181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181</v>
      </c>
    </row>
    <row r="16" spans="1:14" ht="15">
      <c r="A16" s="25" t="s">
        <v>182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182</v>
      </c>
    </row>
    <row r="17" spans="1:14" ht="15">
      <c r="A17" s="25" t="s">
        <v>183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183</v>
      </c>
    </row>
    <row r="18" spans="1:14" ht="15">
      <c r="A18" s="25" t="s">
        <v>184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184</v>
      </c>
    </row>
    <row r="21" spans="1:14" ht="24">
      <c r="A21" s="17" t="s">
        <v>186</v>
      </c>
    </row>
    <row r="22" spans="1:14" ht="15">
      <c r="A22" s="13" t="s">
        <v>187</v>
      </c>
      <c r="B22" s="16" t="s">
        <v>188</v>
      </c>
      <c r="C22" s="15" t="s">
        <v>105</v>
      </c>
      <c r="F22" s="52" t="s">
        <v>189</v>
      </c>
      <c r="G22" s="52" t="s">
        <v>190</v>
      </c>
      <c r="H22" s="52" t="s">
        <v>191</v>
      </c>
    </row>
    <row r="23" spans="1:14" ht="15">
      <c r="A23" s="7">
        <v>10100</v>
      </c>
      <c r="B23" s="11">
        <v>10102</v>
      </c>
      <c r="C23" s="43" cm="1">
        <f t="array" ref="C23">_xlfn.XLOOKUP(F23,$A$10:$A$18,_xlfn.XLOOKUP(G23,$B$9:$J$9,$B$10:$J$18))</f>
        <v>95</v>
      </c>
      <c r="F23" s="2" t="str">
        <f>_xlfn.XLOOKUP(A23,$M$10:$M$18,$N$10:$N$18,,0)</f>
        <v>A</v>
      </c>
      <c r="G23" s="2" t="str">
        <f>_xlfn.XLOOKUP(B23,$M$10:$M$18,$N$10:$N$18,,0)</f>
        <v>B</v>
      </c>
      <c r="H23" s="2" cm="1">
        <f t="array" ref="H23">_xlfn.XLOOKUP(F23,$A$10:$A$18,_xlfn.XLOOKUP(G23,$B$9:$J$9,$B$10:$J$18))</f>
        <v>95</v>
      </c>
      <c r="J23" s="49"/>
    </row>
    <row r="24" spans="1:14" ht="15">
      <c r="A24" s="7">
        <v>10100</v>
      </c>
      <c r="B24" s="11">
        <v>10104</v>
      </c>
      <c r="C24" s="43" cm="1">
        <f t="array" ref="C24">_xlfn.XLOOKUP(F24,$A$10:$A$18,_xlfn.XLOOKUP(G24,$B$9:$J$9,$B$10:$J$18))</f>
        <v>-1</v>
      </c>
      <c r="F24" s="2" t="str">
        <f t="shared" ref="F24:F35" si="0">_xlfn.XLOOKUP(A24,$M$10:$M$18,$N$10:$N$18,,0)</f>
        <v>A</v>
      </c>
      <c r="G24" s="2" t="str">
        <f t="shared" ref="G24:G35" si="1">_xlfn.XLOOKUP(B24,$M$10:$M$18,$N$10:$N$18,,0)</f>
        <v>C</v>
      </c>
      <c r="H24" s="2" cm="1">
        <f t="array" ref="H24">_xlfn.XLOOKUP(F24,$A$10:$A$18,_xlfn.XLOOKUP(G24,$B$9:$J$9,$B$10:$J$18))</f>
        <v>-1</v>
      </c>
    </row>
    <row r="25" spans="1:14" ht="15">
      <c r="A25" s="7">
        <v>10108</v>
      </c>
      <c r="B25" s="11">
        <v>10102</v>
      </c>
      <c r="C25" s="43" cm="1">
        <f t="array" ref="C25">_xlfn.XLOOKUP(F25,$A$10:$A$18,_xlfn.XLOOKUP(G25,$B$9:$J$9,$B$10:$J$18))</f>
        <v>160</v>
      </c>
      <c r="F25" s="2" t="str">
        <f t="shared" si="0"/>
        <v>E</v>
      </c>
      <c r="G25" s="2" t="str">
        <f t="shared" si="1"/>
        <v>B</v>
      </c>
      <c r="H25" s="2" cm="1">
        <f t="array" ref="H25">_xlfn.XLOOKUP(F25,$A$10:$A$18,_xlfn.XLOOKUP(G25,$B$9:$J$9,$B$10:$J$18))</f>
        <v>160</v>
      </c>
    </row>
    <row r="26" spans="1:14" ht="15">
      <c r="A26" s="7">
        <v>10100</v>
      </c>
      <c r="B26" s="11">
        <v>10106</v>
      </c>
      <c r="C26" s="43" cm="1">
        <f t="array" ref="C26">_xlfn.XLOOKUP(F26,$A$10:$A$18,_xlfn.XLOOKUP(G26,$B$9:$J$9,$B$10:$J$18))</f>
        <v>185</v>
      </c>
      <c r="F26" s="2" t="str">
        <f t="shared" si="0"/>
        <v>A</v>
      </c>
      <c r="G26" s="2" t="str">
        <f t="shared" si="1"/>
        <v>D</v>
      </c>
      <c r="H26" s="2" cm="1">
        <f t="array" ref="H26">_xlfn.XLOOKUP(F26,$A$10:$A$18,_xlfn.XLOOKUP(G26,$B$9:$J$9,$B$10:$J$18))</f>
        <v>185</v>
      </c>
    </row>
    <row r="27" spans="1:14" ht="15">
      <c r="A27" s="7">
        <v>10108</v>
      </c>
      <c r="B27" s="11">
        <v>10110</v>
      </c>
      <c r="C27" s="43" cm="1">
        <f t="array" ref="C27">_xlfn.XLOOKUP(F27,$A$10:$A$18,_xlfn.XLOOKUP(G27,$B$9:$J$9,$B$10:$J$18))</f>
        <v>50</v>
      </c>
      <c r="F27" s="2" t="str">
        <f t="shared" si="0"/>
        <v>E</v>
      </c>
      <c r="G27" s="2" t="str">
        <f t="shared" si="1"/>
        <v>F</v>
      </c>
      <c r="H27" s="2" cm="1">
        <f t="array" ref="H27">_xlfn.XLOOKUP(F27,$A$10:$A$18,_xlfn.XLOOKUP(G27,$B$9:$J$9,$B$10:$J$18))</f>
        <v>50</v>
      </c>
    </row>
    <row r="28" spans="1:14" ht="15">
      <c r="A28" s="7">
        <v>10102</v>
      </c>
      <c r="B28" s="11">
        <v>10104</v>
      </c>
      <c r="C28" s="43" cm="1">
        <f t="array" ref="C28">_xlfn.XLOOKUP(F28,$A$10:$A$18,_xlfn.XLOOKUP(G28,$B$9:$J$9,$B$10:$J$18))</f>
        <v>-1</v>
      </c>
      <c r="F28" s="2" t="str">
        <f t="shared" si="0"/>
        <v>B</v>
      </c>
      <c r="G28" s="2" t="str">
        <f t="shared" si="1"/>
        <v>C</v>
      </c>
      <c r="H28" s="2" cm="1">
        <f t="array" ref="H28">_xlfn.XLOOKUP(F28,$A$10:$A$18,_xlfn.XLOOKUP(G28,$B$9:$J$9,$B$10:$J$18))</f>
        <v>-1</v>
      </c>
    </row>
    <row r="29" spans="1:14" ht="15">
      <c r="A29" s="7">
        <v>10106</v>
      </c>
      <c r="B29" s="11">
        <v>10108</v>
      </c>
      <c r="C29" s="43" cm="1">
        <f t="array" ref="C29">_xlfn.XLOOKUP(F29,$A$10:$A$18,_xlfn.XLOOKUP(G29,$B$9:$J$9,$B$10:$J$18))</f>
        <v>70</v>
      </c>
      <c r="F29" s="2" t="str">
        <f t="shared" si="0"/>
        <v>D</v>
      </c>
      <c r="G29" s="2" t="str">
        <f t="shared" si="1"/>
        <v>E</v>
      </c>
      <c r="H29" s="2" cm="1">
        <f t="array" ref="H29">_xlfn.XLOOKUP(F29,$A$10:$A$18,_xlfn.XLOOKUP(G29,$B$9:$J$9,$B$10:$J$18))</f>
        <v>70</v>
      </c>
    </row>
    <row r="30" spans="1:14" ht="15">
      <c r="A30" s="7">
        <v>10102</v>
      </c>
      <c r="B30" s="11">
        <v>10106</v>
      </c>
      <c r="C30" s="43" cm="1">
        <f t="array" ref="C30">_xlfn.XLOOKUP(F30,$A$10:$A$18,_xlfn.XLOOKUP(G30,$B$9:$J$9,$B$10:$J$18))</f>
        <v>90</v>
      </c>
      <c r="F30" s="2" t="str">
        <f t="shared" si="0"/>
        <v>B</v>
      </c>
      <c r="G30" s="2" t="str">
        <f t="shared" si="1"/>
        <v>D</v>
      </c>
      <c r="H30" s="2" cm="1">
        <f t="array" ref="H30">_xlfn.XLOOKUP(F30,$A$10:$A$18,_xlfn.XLOOKUP(G30,$B$9:$J$9,$B$10:$J$18))</f>
        <v>90</v>
      </c>
    </row>
    <row r="31" spans="1:14" ht="15">
      <c r="A31" s="7">
        <v>10110</v>
      </c>
      <c r="B31" s="11">
        <v>10114</v>
      </c>
      <c r="C31" s="43" cm="1">
        <f t="array" ref="C31">_xlfn.XLOOKUP(F31,$A$10:$A$18,_xlfn.XLOOKUP(G31,$B$9:$J$9,$B$10:$J$18))</f>
        <v>180</v>
      </c>
      <c r="F31" s="2" t="str">
        <f t="shared" si="0"/>
        <v>F</v>
      </c>
      <c r="G31" s="2" t="str">
        <f t="shared" si="1"/>
        <v>H</v>
      </c>
      <c r="H31" s="2" cm="1">
        <f t="array" ref="H31">_xlfn.XLOOKUP(F31,$A$10:$A$18,_xlfn.XLOOKUP(G31,$B$9:$J$9,$B$10:$J$18))</f>
        <v>180</v>
      </c>
    </row>
    <row r="32" spans="1:14" ht="15">
      <c r="A32" s="7">
        <v>10104</v>
      </c>
      <c r="B32" s="11">
        <v>10106</v>
      </c>
      <c r="C32" s="43" cm="1">
        <f t="array" ref="C32">_xlfn.XLOOKUP(F32,$A$10:$A$18,_xlfn.XLOOKUP(G32,$B$9:$J$9,$B$10:$J$18))</f>
        <v>60</v>
      </c>
      <c r="F32" s="2" t="str">
        <f t="shared" si="0"/>
        <v>C</v>
      </c>
      <c r="G32" s="2" t="str">
        <f t="shared" si="1"/>
        <v>D</v>
      </c>
      <c r="H32" s="2" cm="1">
        <f t="array" ref="H32">_xlfn.XLOOKUP(F32,$A$10:$A$18,_xlfn.XLOOKUP(G32,$B$9:$J$9,$B$10:$J$18))</f>
        <v>60</v>
      </c>
    </row>
    <row r="33" spans="1:8" ht="15">
      <c r="A33" s="7">
        <v>10110</v>
      </c>
      <c r="B33" s="11">
        <v>10112</v>
      </c>
      <c r="C33" s="43" cm="1">
        <f t="array" ref="C33">_xlfn.XLOOKUP(F33,$A$10:$A$18,_xlfn.XLOOKUP(G33,$B$9:$J$9,$B$10:$J$18))</f>
        <v>115</v>
      </c>
      <c r="F33" s="2" t="str">
        <f t="shared" si="0"/>
        <v>F</v>
      </c>
      <c r="G33" s="2" t="str">
        <f t="shared" si="1"/>
        <v>G</v>
      </c>
      <c r="H33" s="2" cm="1">
        <f t="array" ref="H33">_xlfn.XLOOKUP(F33,$A$10:$A$18,_xlfn.XLOOKUP(G33,$B$9:$J$9,$B$10:$J$18))</f>
        <v>115</v>
      </c>
    </row>
    <row r="34" spans="1:8" ht="15">
      <c r="A34" s="7">
        <v>10100</v>
      </c>
      <c r="B34" s="11">
        <v>10114</v>
      </c>
      <c r="C34" s="43" cm="1">
        <f t="array" ref="C34">_xlfn.XLOOKUP(F34,$A$10:$A$18,_xlfn.XLOOKUP(G34,$B$9:$J$9,$B$10:$J$18))</f>
        <v>480</v>
      </c>
      <c r="F34" s="2" t="str">
        <f t="shared" si="0"/>
        <v>A</v>
      </c>
      <c r="G34" s="2" t="str">
        <f t="shared" si="1"/>
        <v>H</v>
      </c>
      <c r="H34" s="2" cm="1">
        <f t="array" ref="H34">_xlfn.XLOOKUP(F34,$A$10:$A$18,_xlfn.XLOOKUP(G34,$B$9:$J$9,$B$10:$J$18))</f>
        <v>480</v>
      </c>
    </row>
    <row r="35" spans="1:8" ht="15">
      <c r="A35" s="8">
        <v>10112</v>
      </c>
      <c r="B35" s="12">
        <v>10116</v>
      </c>
      <c r="C35" s="51" cm="1">
        <f t="array" ref="C35">_xlfn.XLOOKUP(F35,$A$10:$A$18,_xlfn.XLOOKUP(G35,$B$9:$J$9,$B$10:$J$18))</f>
        <v>105</v>
      </c>
      <c r="F35" s="2" t="str">
        <f t="shared" si="0"/>
        <v>G</v>
      </c>
      <c r="G35" s="2" t="str">
        <f t="shared" si="1"/>
        <v>I</v>
      </c>
      <c r="H35" s="2" cm="1">
        <f t="array" ref="H35">_xlfn.XLOOKUP(F35,$A$10:$A$18,_xlfn.XLOOKUP(G35,$B$9:$J$9,$B$10:$J$18))</f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2023-12-11T07:46:30Z</dcterms:modified>
  <cp:category/>
  <cp:contentStatus/>
</cp:coreProperties>
</file>